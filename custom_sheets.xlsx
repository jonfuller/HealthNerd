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fuller\Documents\healthnerd\"/>
    </mc:Choice>
  </mc:AlternateContent>
  <xr:revisionPtr revIDLastSave="0" documentId="13_ncr:1_{4D2C77E6-C678-45A0-AE43-B3EC8A2BCB73}" xr6:coauthVersionLast="36" xr6:coauthVersionMax="36" xr10:uidLastSave="{00000000-0000-0000-0000-000000000000}"/>
  <bookViews>
    <workbookView xWindow="0" yWindow="0" windowWidth="28780" windowHeight="12170" activeTab="1" xr2:uid="{00000000-000D-0000-FFFF-FFFF00000000}"/>
  </bookViews>
  <sheets>
    <sheet name="custom-currentMonth" sheetId="1" r:id="rId1"/>
    <sheet name="custom-previousMonth" sheetId="2" r:id="rId2"/>
    <sheet name="custom-payoutSchedule" sheetId="3" r:id="rId3"/>
  </sheets>
  <calcPr calcId="191029"/>
</workbook>
</file>

<file path=xl/calcChain.xml><?xml version="1.0" encoding="utf-8"?>
<calcChain xmlns="http://schemas.openxmlformats.org/spreadsheetml/2006/main">
  <c r="E11" i="2" l="1"/>
  <c r="E11" i="1"/>
  <c r="B6" i="2" l="1"/>
  <c r="B5" i="2"/>
  <c r="B4" i="2"/>
  <c r="B3" i="2"/>
  <c r="B6" i="1"/>
  <c r="B5" i="1"/>
  <c r="B4" i="1"/>
  <c r="B3" i="1"/>
  <c r="D6" i="2" l="1"/>
  <c r="D6" i="1"/>
  <c r="D9" i="3"/>
  <c r="D8" i="3"/>
  <c r="D7" i="3"/>
  <c r="D6" i="3"/>
  <c r="D5" i="3"/>
  <c r="D4" i="3"/>
  <c r="D5" i="2"/>
  <c r="C5" i="2"/>
  <c r="D4" i="2"/>
  <c r="D3" i="2"/>
  <c r="D5" i="1"/>
  <c r="C5" i="1"/>
  <c r="D4" i="1"/>
  <c r="D3" i="1"/>
  <c r="D8" i="2" l="1"/>
  <c r="D9" i="2" s="1"/>
  <c r="D8" i="1"/>
  <c r="D9" i="1" s="1"/>
</calcChain>
</file>

<file path=xl/sharedStrings.xml><?xml version="1.0" encoding="utf-8"?>
<sst xmlns="http://schemas.openxmlformats.org/spreadsheetml/2006/main" count="37" uniqueCount="20">
  <si>
    <t>Current Month</t>
  </si>
  <si>
    <t>source</t>
  </si>
  <si>
    <t>amount</t>
  </si>
  <si>
    <t>conversion</t>
  </si>
  <si>
    <t>"steps"</t>
  </si>
  <si>
    <t>conversion note</t>
  </si>
  <si>
    <t>steps</t>
  </si>
  <si>
    <t>one for one, a step is a step</t>
  </si>
  <si>
    <t>weights (minutes)</t>
  </si>
  <si>
    <t>based on chart</t>
  </si>
  <si>
    <t>cycling miles</t>
  </si>
  <si>
    <t>based on average "steps/mile" (below)</t>
  </si>
  <si>
    <t>total "steps"</t>
  </si>
  <si>
    <t>Previous Month</t>
  </si>
  <si>
    <t>payout schedule</t>
  </si>
  <si>
    <t>miles</t>
  </si>
  <si>
    <t>payout</t>
  </si>
  <si>
    <t>steps/mile</t>
  </si>
  <si>
    <t>yoga</t>
  </si>
  <si>
    <t>chart source: https://www.lyondellbasell.com/globalassets/sustainability/lifebeats/active-challenges/step-up-for-health-2017/step-count-conversion-chart.pdf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</si>
</sst>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_(* #,##0_);_(* \(#,##0\);_(* &quot;-&quot;??_);_(@_)"/>
    <numFmt numFmtId="165" formatCode="&quot;$&quot;#,##0.00"/>
    <numFmt numFmtId="167" formatCode="mmmm\ yyyy"/>
  </numFmts>
  <fonts count="4">
    <font>
      <sz val="11"/>
      <name val="Calibri"/>
    </font>
    <font>
      <sz val="11"/>
      <name val="Calibri"/>
      <family val="2"/>
    </font>
    <font>
      <sz val="11"/>
      <name val="Calibri"/>
    </font>
    <font>
      <b/>
      <sz val="18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 applyNumberFormat="1" applyFont="1"/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3" fontId="0" fillId="0" borderId="0" xfId="0" applyNumberFormat="1" applyFont="1" applyFill="1" applyBorder="1"/>
    <xf numFmtId="164" fontId="0" fillId="0" borderId="0" xfId="1" applyNumberFormat="1" applyFont="1" applyFill="1" applyBorder="1"/>
    <xf numFmtId="1" fontId="0" fillId="0" borderId="0" xfId="0" applyNumberFormat="1" applyFont="1" applyFill="1" applyBorder="1"/>
    <xf numFmtId="8" fontId="0" fillId="0" borderId="0" xfId="0" applyNumberFormat="1" applyFont="1" applyFill="1" applyBorder="1"/>
    <xf numFmtId="165" fontId="0" fillId="0" borderId="0" xfId="1" applyNumberFormat="1" applyFont="1" applyFill="1" applyBorder="1"/>
    <xf numFmtId="14" fontId="0" fillId="0" borderId="0" xfId="0" applyNumberFormat="1" applyFont="1"/>
    <xf numFmtId="167" fontId="3" fillId="0" borderId="0" xfId="0" applyNumberFormat="1" applyFont="1"/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E11" sqref="E11"/>
    </sheetView>
  </sheetViews>
  <sheetFormatPr defaultColWidth="8.81640625" defaultRowHeight="14.5"/>
  <cols>
    <col min="1" max="1" width="17.453125" bestFit="1" customWidth="1"/>
    <col min="3" max="3" width="12" bestFit="1" customWidth="1"/>
    <col min="4" max="4" width="10.54296875" style="1" bestFit="1" customWidth="1"/>
    <col min="5" max="5" width="24.08984375" customWidth="1"/>
    <col min="15" max="15" width="17.453125" style="1" bestFit="1" customWidth="1"/>
    <col min="16" max="16" width="10.1796875" style="1" bestFit="1" customWidth="1"/>
    <col min="17" max="17" width="12.453125" style="1" bestFit="1" customWidth="1"/>
    <col min="18" max="18" width="12" style="1" bestFit="1" customWidth="1"/>
    <col min="19" max="19" width="36.453125" style="1" bestFit="1" customWidth="1"/>
  </cols>
  <sheetData>
    <row r="1" spans="1:5" s="1" customFormat="1" ht="15" customHeight="1">
      <c r="A1" s="1" t="s">
        <v>0</v>
      </c>
      <c r="E1" s="1" t="s">
        <v>19</v>
      </c>
    </row>
    <row r="2" spans="1:5" s="1" customFormat="1" ht="15" customHeight="1">
      <c r="A2" s="2" t="s">
        <v>1</v>
      </c>
      <c r="B2" s="2" t="s">
        <v>2</v>
      </c>
      <c r="C2" s="1" t="s">
        <v>3</v>
      </c>
      <c r="D2" s="2" t="s">
        <v>4</v>
      </c>
      <c r="E2" s="2" t="s">
        <v>5</v>
      </c>
    </row>
    <row r="3" spans="1:5" s="1" customFormat="1" ht="15" customHeight="1">
      <c r="A3" s="1" t="s">
        <v>6</v>
      </c>
      <c r="B3" s="3">
        <f>IFERROR(SUM(Month_Summary_Current_steps), 0)</f>
        <v>0</v>
      </c>
      <c r="C3" s="4">
        <v>1</v>
      </c>
      <c r="D3" s="4">
        <f>B3*C3</f>
        <v>0</v>
      </c>
      <c r="E3" s="2" t="s">
        <v>7</v>
      </c>
    </row>
    <row r="4" spans="1:5" s="1" customFormat="1" ht="15" customHeight="1">
      <c r="A4" s="2" t="s">
        <v>8</v>
      </c>
      <c r="B4" s="5">
        <f>IFERROR(SUM(Month_Summary_Current_Strength_duration), 0)</f>
        <v>0</v>
      </c>
      <c r="C4" s="4">
        <v>255</v>
      </c>
      <c r="D4" s="4">
        <f>B4*C4</f>
        <v>0</v>
      </c>
      <c r="E4" s="2" t="s">
        <v>9</v>
      </c>
    </row>
    <row r="5" spans="1:5" s="1" customFormat="1" ht="15" customHeight="1">
      <c r="A5" s="2" t="s">
        <v>10</v>
      </c>
      <c r="B5" s="1">
        <f>IFERROR(SUM(Month_Summary_Current_Cycling_distance), 0)</f>
        <v>0</v>
      </c>
      <c r="C5" s="4">
        <f>AVERAGE('custom-payoutSchedule'!D4:D9)</f>
        <v>1981.3492063492065</v>
      </c>
      <c r="D5" s="4">
        <f>B5*C5</f>
        <v>0</v>
      </c>
      <c r="E5" s="2" t="s">
        <v>11</v>
      </c>
    </row>
    <row r="6" spans="1:5" s="1" customFormat="1" ht="15" customHeight="1">
      <c r="A6" s="1" t="s">
        <v>18</v>
      </c>
      <c r="B6" s="5">
        <f>IFERROR(SUM(Month_Summary_Current_Yoga_duration), 0)</f>
        <v>0</v>
      </c>
      <c r="C6" s="1">
        <v>100</v>
      </c>
      <c r="D6" s="4">
        <f>B6*C6</f>
        <v>0</v>
      </c>
      <c r="E6" s="1" t="s">
        <v>9</v>
      </c>
    </row>
    <row r="7" spans="1:5" s="1" customFormat="1" ht="15" customHeight="1">
      <c r="D7" s="4"/>
    </row>
    <row r="8" spans="1:5" s="1" customFormat="1" ht="15" customHeight="1">
      <c r="C8" s="2" t="s">
        <v>12</v>
      </c>
      <c r="D8" s="4">
        <f>SUM(D3:D5)</f>
        <v>0</v>
      </c>
    </row>
    <row r="9" spans="1:5" s="1" customFormat="1" ht="15" customHeight="1">
      <c r="D9" s="6">
        <f>VLOOKUP(D8,'custom-payoutSchedule'!A3:C9, 3)</f>
        <v>0</v>
      </c>
    </row>
    <row r="10" spans="1:5" s="1" customFormat="1" ht="15" customHeight="1"/>
    <row r="11" spans="1:5" ht="23.5">
      <c r="E11" s="9">
        <f ca="1">TODAY()</f>
        <v>44573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E11" sqref="E11"/>
    </sheetView>
  </sheetViews>
  <sheetFormatPr defaultColWidth="11.453125" defaultRowHeight="14.5"/>
  <cols>
    <col min="1" max="1" width="17.453125" bestFit="1" customWidth="1"/>
    <col min="3" max="3" width="12" bestFit="1" customWidth="1"/>
    <col min="5" max="5" width="22.54296875" customWidth="1"/>
  </cols>
  <sheetData>
    <row r="1" spans="1:5" s="1" customFormat="1" ht="15" customHeight="1">
      <c r="A1" s="1" t="s">
        <v>13</v>
      </c>
      <c r="E1" s="1" t="s">
        <v>19</v>
      </c>
    </row>
    <row r="2" spans="1:5" s="1" customFormat="1" ht="15" customHeight="1">
      <c r="A2" s="2" t="s">
        <v>1</v>
      </c>
      <c r="B2" s="2" t="s">
        <v>2</v>
      </c>
      <c r="C2" s="1" t="s">
        <v>3</v>
      </c>
      <c r="D2" s="2" t="s">
        <v>4</v>
      </c>
      <c r="E2" s="2" t="s">
        <v>5</v>
      </c>
    </row>
    <row r="3" spans="1:5" s="1" customFormat="1" ht="15" customHeight="1">
      <c r="A3" s="1" t="s">
        <v>6</v>
      </c>
      <c r="B3" s="3">
        <f>IFERROR(SUM(Month_Summary_Previous_steps), 0)</f>
        <v>0</v>
      </c>
      <c r="C3" s="4">
        <v>1</v>
      </c>
      <c r="D3" s="4">
        <f>B3*C3</f>
        <v>0</v>
      </c>
      <c r="E3" s="2" t="s">
        <v>7</v>
      </c>
    </row>
    <row r="4" spans="1:5" s="1" customFormat="1" ht="15" customHeight="1">
      <c r="A4" s="2" t="s">
        <v>8</v>
      </c>
      <c r="B4" s="5">
        <f>IFERROR(SUM(Month_Summary_Previous_Strength_duration), 0)</f>
        <v>0</v>
      </c>
      <c r="C4" s="4">
        <v>255</v>
      </c>
      <c r="D4" s="4">
        <f>B4*C4</f>
        <v>0</v>
      </c>
      <c r="E4" s="2" t="s">
        <v>9</v>
      </c>
    </row>
    <row r="5" spans="1:5" s="1" customFormat="1" ht="15" customHeight="1">
      <c r="A5" s="2" t="s">
        <v>10</v>
      </c>
      <c r="B5" s="1">
        <f>IFERROR(SUM(Month_Summary_Previous_Cycling_distance), 0)</f>
        <v>0</v>
      </c>
      <c r="C5" s="4">
        <f>AVERAGE('custom-payoutSchedule'!D4:D9)</f>
        <v>1981.3492063492065</v>
      </c>
      <c r="D5" s="4">
        <f>B5*C5</f>
        <v>0</v>
      </c>
      <c r="E5" s="2" t="s">
        <v>11</v>
      </c>
    </row>
    <row r="6" spans="1:5" s="1" customFormat="1" ht="15" customHeight="1">
      <c r="A6" s="1" t="s">
        <v>18</v>
      </c>
      <c r="B6" s="5">
        <f>IFERROR(SUM(Month_Summary_Previous_Yoga_duration), 0)</f>
        <v>0</v>
      </c>
      <c r="C6" s="1">
        <v>100</v>
      </c>
      <c r="D6" s="4">
        <f>B6*C6</f>
        <v>0</v>
      </c>
      <c r="E6" s="1" t="s">
        <v>9</v>
      </c>
    </row>
    <row r="7" spans="1:5" s="1" customFormat="1" ht="15" customHeight="1">
      <c r="D7" s="4"/>
    </row>
    <row r="8" spans="1:5" s="1" customFormat="1" ht="15" customHeight="1">
      <c r="C8" s="2" t="s">
        <v>12</v>
      </c>
      <c r="D8" s="4">
        <f>SUM(D3:D5)</f>
        <v>0</v>
      </c>
    </row>
    <row r="9" spans="1:5" s="1" customFormat="1" ht="15" customHeight="1">
      <c r="D9" s="6">
        <f>VLOOKUP(D8, 'custom-payoutSchedule'!A3:C9, 3)</f>
        <v>0</v>
      </c>
    </row>
    <row r="11" spans="1:5" ht="23.5">
      <c r="E11" s="9">
        <f ca="1">TODAY()-DAY(TODAY())</f>
        <v>44561</v>
      </c>
    </row>
    <row r="12" spans="1:5">
      <c r="E1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ColWidth="11.453125" defaultRowHeight="14.5"/>
  <sheetData>
    <row r="1" spans="1:4" s="1" customFormat="1" ht="15" customHeight="1">
      <c r="A1" s="1" t="s">
        <v>14</v>
      </c>
    </row>
    <row r="2" spans="1:4" s="1" customFormat="1" ht="15" customHeight="1">
      <c r="A2" s="1" t="s">
        <v>6</v>
      </c>
      <c r="B2" s="1" t="s">
        <v>15</v>
      </c>
      <c r="C2" s="1" t="s">
        <v>16</v>
      </c>
      <c r="D2" s="2" t="s">
        <v>17</v>
      </c>
    </row>
    <row r="3" spans="1:4" s="1" customFormat="1" ht="15" customHeight="1">
      <c r="A3" s="1">
        <v>0</v>
      </c>
      <c r="B3" s="1">
        <v>0</v>
      </c>
      <c r="C3" s="7">
        <v>0</v>
      </c>
    </row>
    <row r="4" spans="1:4" s="1" customFormat="1" ht="15" customHeight="1">
      <c r="A4" s="3">
        <v>195000</v>
      </c>
      <c r="B4" s="1">
        <v>100</v>
      </c>
      <c r="C4" s="6">
        <v>7</v>
      </c>
      <c r="D4" s="5">
        <f t="shared" ref="D4:D9" si="0">A4/B4</f>
        <v>1950</v>
      </c>
    </row>
    <row r="5" spans="1:4" s="1" customFormat="1" ht="15" customHeight="1">
      <c r="A5" s="3">
        <v>260000</v>
      </c>
      <c r="B5" s="1">
        <v>130</v>
      </c>
      <c r="C5" s="6">
        <v>12</v>
      </c>
      <c r="D5" s="5">
        <f t="shared" si="0"/>
        <v>2000</v>
      </c>
    </row>
    <row r="6" spans="1:4" s="1" customFormat="1" ht="15" customHeight="1">
      <c r="A6" s="3">
        <v>305000</v>
      </c>
      <c r="B6" s="1">
        <v>150</v>
      </c>
      <c r="C6" s="6">
        <v>18</v>
      </c>
      <c r="D6" s="5">
        <f t="shared" si="0"/>
        <v>2033.3333333333333</v>
      </c>
    </row>
    <row r="7" spans="1:4" s="1" customFormat="1" ht="15" customHeight="1">
      <c r="A7" s="3">
        <v>345000</v>
      </c>
      <c r="B7" s="1">
        <v>175</v>
      </c>
      <c r="C7" s="6">
        <v>25</v>
      </c>
      <c r="D7" s="5">
        <f t="shared" si="0"/>
        <v>1971.4285714285713</v>
      </c>
    </row>
    <row r="8" spans="1:4" s="1" customFormat="1" ht="15" customHeight="1">
      <c r="A8" s="3">
        <v>390000</v>
      </c>
      <c r="B8" s="1">
        <v>195</v>
      </c>
      <c r="C8" s="6">
        <v>35</v>
      </c>
      <c r="D8" s="5">
        <f t="shared" si="0"/>
        <v>2000</v>
      </c>
    </row>
    <row r="9" spans="1:4" s="1" customFormat="1" ht="15" customHeight="1">
      <c r="A9" s="3">
        <v>435000</v>
      </c>
      <c r="B9" s="1">
        <v>225</v>
      </c>
      <c r="C9" s="6">
        <v>50</v>
      </c>
      <c r="D9" s="5">
        <f t="shared" si="0"/>
        <v>1933.3333333333333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custom-currentMonth</vt:lpstr>
      <vt:lpstr>custom-previousMonth</vt:lpstr>
      <vt:lpstr>custom-payoutSchedule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Fuller</cp:lastModifiedBy>
  <dcterms:modified xsi:type="dcterms:W3CDTF">2022-01-12T15:04:08Z</dcterms:modified>
</cp:coreProperties>
</file>